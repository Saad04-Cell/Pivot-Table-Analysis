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cuments\"/>
    </mc:Choice>
  </mc:AlternateContent>
  <xr:revisionPtr revIDLastSave="0" documentId="8_{D95CC474-B2F8-4BF5-9DD6-AAB5BEDF11A5}" xr6:coauthVersionLast="47" xr6:coauthVersionMax="47" xr10:uidLastSave="{00000000-0000-0000-0000-000000000000}"/>
  <bookViews>
    <workbookView xWindow="-108" yWindow="-108" windowWidth="23256" windowHeight="12576" activeTab="1" xr2:uid="{6EE9ED3C-58AE-4B47-B292-71B9FB5FF4D7}"/>
  </bookViews>
  <sheets>
    <sheet name="RAW DATA" sheetId="1" r:id="rId1"/>
    <sheet name="PIVOT TABLE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<sst xmlns="http://schemas.openxmlformats.org/spreadsheetml/2006/main" count="151" uniqueCount="50">
  <si>
    <t>Date2</t>
  </si>
  <si>
    <t>Customer Name</t>
  </si>
  <si>
    <t>Order Priority</t>
  </si>
  <si>
    <t>Order Quantity</t>
  </si>
  <si>
    <t>Sales</t>
  </si>
  <si>
    <t>Discount</t>
  </si>
  <si>
    <t>Ship Mode</t>
  </si>
  <si>
    <t>Profit</t>
  </si>
  <si>
    <t>Region</t>
  </si>
  <si>
    <t>Customer Segment</t>
  </si>
  <si>
    <t>Ruben Dartt</t>
  </si>
  <si>
    <t>Not Specified</t>
  </si>
  <si>
    <t>Regular Air</t>
  </si>
  <si>
    <t>West</t>
  </si>
  <si>
    <t>Corporate</t>
  </si>
  <si>
    <t>Roy Collins</t>
  </si>
  <si>
    <t>High</t>
  </si>
  <si>
    <t>Express Air</t>
  </si>
  <si>
    <t>Prarie</t>
  </si>
  <si>
    <t>Pauline Chand</t>
  </si>
  <si>
    <t>Low</t>
  </si>
  <si>
    <t>Ontario</t>
  </si>
  <si>
    <t>Muhammed MacIntyre</t>
  </si>
  <si>
    <t>Nunavut</t>
  </si>
  <si>
    <t>Small Business</t>
  </si>
  <si>
    <t>Julie Creighton</t>
  </si>
  <si>
    <t>Liz Pelletier</t>
  </si>
  <si>
    <t>Delivery Truck</t>
  </si>
  <si>
    <t>Craig Yedwab</t>
  </si>
  <si>
    <t>Medium</t>
  </si>
  <si>
    <t>Yukon</t>
  </si>
  <si>
    <t>Consumer</t>
  </si>
  <si>
    <t>Jonathan Doherty</t>
  </si>
  <si>
    <t>Tamara Dahlen</t>
  </si>
  <si>
    <t>Critical</t>
  </si>
  <si>
    <t>Keith Dawkins</t>
  </si>
  <si>
    <t>Home Office</t>
  </si>
  <si>
    <t>Arthur Gainer</t>
  </si>
  <si>
    <t>Sample Company A</t>
  </si>
  <si>
    <t>Helen Wasserman</t>
  </si>
  <si>
    <t>Quebec</t>
  </si>
  <si>
    <t>Custormer Name</t>
  </si>
  <si>
    <t>Sum of Order Quantity</t>
  </si>
  <si>
    <t>Sum of Sales</t>
  </si>
  <si>
    <t>Grand Total</t>
  </si>
  <si>
    <t>YEAR</t>
  </si>
  <si>
    <t>2009</t>
  </si>
  <si>
    <t>Years (Date2)</t>
  </si>
  <si>
    <t>Row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</si>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</sst>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scheme val="minor"/>
    </font>
    <font>
      <sz val="11"/>
      <color theme="1"/>
      <name val="Calibri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4" fillId="0" borderId="0" xfId="0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/>
    </xf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/>
    <xf numFmtId="49" fontId="1" fillId="3" borderId="0" xfId="0" applyNumberFormat="1" applyFont="1" applyFill="1" applyAlignment="1">
      <alignment horizontal="left"/>
    </xf>
    <xf numFmtId="1" fontId="1" fillId="3" borderId="0" xfId="0" applyNumberFormat="1" applyFont="1" applyFill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14" fontId="0" fillId="0" borderId="0" xfId="0" applyNumberFormat="1" applyAlignment="1">
      <alignment horizontal="left"/>
    </xf>
    <xf numFmtId="14" fontId="0" fillId="4" borderId="1" xfId="0" applyNumberFormat="1" applyFill="1" applyBorder="1"/>
    <xf numFmtId="0" fontId="0" fillId="4" borderId="1" xfId="0" applyFill="1" applyBorder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49" fontId="1" fillId="4" borderId="1" xfId="0" applyNumberFormat="1" applyFont="1" applyFill="1" applyBorder="1"/>
    <xf numFmtId="164" fontId="1" fillId="4" borderId="1" xfId="0" applyNumberFormat="1" applyFont="1" applyFill="1" applyBorder="1"/>
    <xf numFmtId="0" fontId="0" fillId="0" borderId="0" xfId="0" applyAlignment="1">
      <alignment horizontal="left"/>
    </xf>
    <xf numFmtId="49" fontId="1" fillId="5" borderId="0" xfId="0" applyNumberFormat="1" applyFont="1" applyFill="1" applyAlignment="1">
      <alignment horizontal="left"/>
    </xf>
    <xf numFmtId="164" fontId="1" fillId="5" borderId="0" xfId="0" applyNumberFormat="1" applyFont="1" applyFill="1"/>
    <xf numFmtId="49" fontId="1" fillId="4" borderId="2" xfId="0" applyNumberFormat="1" applyFont="1" applyFill="1" applyBorder="1" applyAlignment="1">
      <alignment horizontal="left"/>
    </xf>
    <xf numFmtId="164" fontId="1" fillId="4" borderId="2" xfId="0" applyNumberFormat="1" applyFont="1" applyFill="1" applyBorder="1"/>
    <xf numFmtId="49" fontId="0" fillId="0" borderId="0" xfId="0" pivotButton="1" applyNumberFormat="1"/>
    <xf numFmtId="0" fontId="0" fillId="0" borderId="0" xfId="0" pivotButton="1"/>
    <xf numFmtId="14" fontId="0" fillId="0" borderId="0" xfId="0" pivotButton="1" applyNumberFormat="1"/>
  </cellXfs>
  <cellStyles count="1"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dd/mm/yyyy"/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</dxf>
    <dxf>
      <font>
        <b/>
      </font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19" formatCode="m/d/yyyy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Lookup-style" pivot="0" count="3" xr9:uid="{BE2D17DF-7996-4C1E-B3E7-3240825D4A65}">
      <tableStyleElement type="headerRow" dxfId="66"/>
      <tableStyleElement type="firstRowStripe" dxfId="65"/>
      <tableStyleElement type="secondRowStripe" dxfId="6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</xdr:row>
      <xdr:rowOff>144780</xdr:rowOff>
    </xdr:from>
    <xdr:to>
      <xdr:col>11</xdr:col>
      <xdr:colOff>662940</xdr:colOff>
      <xdr:row>24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321DB9-3B92-43D9-AB53-CD64005B021B}"/>
            </a:ext>
          </a:extLst>
        </xdr:cNvPr>
        <xdr:cNvSpPr txBox="1"/>
      </xdr:nvSpPr>
      <xdr:spPr>
        <a:xfrm>
          <a:off x="9273540" y="327660"/>
          <a:ext cx="1965960" cy="416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Answers</a:t>
          </a:r>
        </a:p>
        <a:p>
          <a:r>
            <a:rPr lang="en-US" b="1"/>
            <a:t>1. Total order quantity for Liz Pelletier:</a:t>
          </a:r>
          <a:br>
            <a:rPr lang="en-US"/>
          </a:br>
          <a:r>
            <a:rPr lang="en-US" b="1"/>
            <a:t>Answer:</a:t>
          </a:r>
          <a:r>
            <a:rPr lang="en-US"/>
            <a:t> 88</a:t>
          </a:r>
        </a:p>
        <a:p>
          <a:r>
            <a:rPr lang="en-US" b="1"/>
            <a:t>2. Which order priority category produced the highest sales?</a:t>
          </a:r>
          <a:br>
            <a:rPr lang="en-US"/>
          </a:br>
          <a:r>
            <a:rPr lang="en-US" b="1"/>
            <a:t>Answer:</a:t>
          </a:r>
          <a:r>
            <a:rPr lang="en-US"/>
            <a:t> High Order Priority with total sales of </a:t>
          </a:r>
          <a:r>
            <a:rPr lang="en-US" b="1"/>
            <a:t>$10,065.40</a:t>
          </a:r>
          <a:r>
            <a:rPr lang="en-US"/>
            <a:t>.</a:t>
          </a:r>
        </a:p>
        <a:p>
          <a:r>
            <a:rPr lang="en-US" b="1"/>
            <a:t>3. Show only sales that were made in 2009.</a:t>
          </a:r>
          <a:br>
            <a:rPr lang="en-US"/>
          </a:br>
          <a:r>
            <a:rPr lang="en-US" b="1"/>
            <a:t>Answer:</a:t>
          </a:r>
          <a:r>
            <a:rPr lang="en-US"/>
            <a:t> Total sales recorded in </a:t>
          </a:r>
          <a:r>
            <a:rPr lang="en-US" b="1"/>
            <a:t>2009</a:t>
          </a:r>
          <a:r>
            <a:rPr lang="en-US"/>
            <a:t> = </a:t>
          </a:r>
          <a:r>
            <a:rPr lang="en-US" b="1"/>
            <a:t>$11,741.71</a:t>
          </a:r>
          <a:r>
            <a:rPr lang="en-US"/>
            <a:t>.</a:t>
          </a:r>
        </a:p>
        <a:p>
          <a:r>
            <a:rPr lang="en-US" b="1"/>
            <a:t>4. Which region brought in the least profit for the year 2012?</a:t>
          </a:r>
          <a:br>
            <a:rPr lang="en-US"/>
          </a:br>
          <a:r>
            <a:rPr lang="en-US" b="1"/>
            <a:t>Answer:</a:t>
          </a:r>
          <a:r>
            <a:rPr lang="en-US"/>
            <a:t> </a:t>
          </a:r>
          <a:r>
            <a:rPr lang="en-US" b="1"/>
            <a:t>Ontario</a:t>
          </a:r>
          <a:r>
            <a:rPr lang="en-US"/>
            <a:t> recorded the least profit in </a:t>
          </a:r>
          <a:r>
            <a:rPr lang="en-US" b="1"/>
            <a:t>2012</a:t>
          </a:r>
          <a:r>
            <a:rPr lang="en-US"/>
            <a:t>, with a profit of </a:t>
          </a:r>
          <a:r>
            <a:rPr lang="en-US" b="1"/>
            <a:t>-$22.59</a:t>
          </a:r>
          <a:r>
            <a:rPr lang="en-US"/>
            <a:t>.</a:t>
          </a:r>
        </a:p>
        <a:p>
          <a:r>
            <a:rPr lang="en-US" b="1"/>
            <a:t>5. Which customer segment accounted for the highest sales figure?</a:t>
          </a:r>
          <a:br>
            <a:rPr lang="en-US"/>
          </a:br>
          <a:r>
            <a:rPr lang="en-US" b="1"/>
            <a:t>Answer:</a:t>
          </a:r>
          <a:r>
            <a:rPr lang="en-US"/>
            <a:t> </a:t>
          </a:r>
          <a:r>
            <a:rPr lang="en-US" b="1"/>
            <a:t>Home Office</a:t>
          </a:r>
          <a:r>
            <a:rPr lang="en-US"/>
            <a:t> accounted for the highest sales, with total sales of </a:t>
          </a:r>
          <a:r>
            <a:rPr lang="en-US" b="1"/>
            <a:t>$14,537.45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/>
            <a:t>One observation: earlier we</a:t>
          </a:r>
        </a:p>
        <a:p>
          <a:endParaRPr lang="en-A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est/Downloads/Lookup%20functi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205.353657754633" createdVersion="8" refreshedVersion="8" minRefreshableVersion="3" recordCount="20" xr:uid="{21E75133-8C99-49B6-B8BD-99A51D193326}">
  <cacheSource type="worksheet">
    <worksheetSource name="Table_13" r:id="rId2"/>
  </cacheSource>
  <cacheFields count="13">
    <cacheField name="Date2" numFmtId="14">
      <sharedItems containsSemiMixedTypes="0" containsNonDate="0" containsDate="1" containsString="0" minDate="2008-04-24T00:00:00" maxDate="2012-06-09T00:00:00" count="20">
        <d v="2009-05-02T00:00:00"/>
        <d v="2009-05-06T00:00:00"/>
        <d v="2012-06-08T00:00:00"/>
        <d v="2009-04-25T00:00:00"/>
        <d v="2009-04-23T00:00:00"/>
        <d v="2009-04-29T00:00:00"/>
        <d v="2009-04-28T00:00:00"/>
        <d v="2009-04-27T00:00:00"/>
        <d v="2012-04-26T00:00:00"/>
        <d v="2009-05-03T00:00:00"/>
        <d v="2010-05-09T00:00:00"/>
        <d v="2009-05-05T00:00:00"/>
        <d v="2008-04-24T00:00:00"/>
        <d v="2009-05-01T00:00:00"/>
        <d v="2011-04-30T00:00:00"/>
        <d v="2009-05-04T00:00:00"/>
        <d v="2011-05-08T00:00:00"/>
        <d v="2009-05-07T00:00:00"/>
        <d v="2011-12-10T00:00:00"/>
        <d v="2011-10-12T00:00:00"/>
      </sharedItems>
      <fieldGroup par="12"/>
    </cacheField>
    <cacheField name="Customer Name" numFmtId="0">
      <sharedItems count="13">
        <s v="Ruben Dartt"/>
        <s v="Roy Collins"/>
        <s v="Pauline Chand"/>
        <s v="Muhammed MacIntyre"/>
        <s v="Julie Creighton"/>
        <s v="Liz Pelletier"/>
        <s v="Craig Yedwab"/>
        <s v="Jonathan Doherty"/>
        <s v="Tamara Dahlen"/>
        <s v="Keith Dawkins"/>
        <s v="Arthur Gainer"/>
        <s v="Sample Company A"/>
        <s v="Helen Wasserman"/>
      </sharedItems>
    </cacheField>
    <cacheField name="Order Priority" numFmtId="0">
      <sharedItems count="5">
        <s v="Not Specified"/>
        <s v="High"/>
        <s v="Low"/>
        <s v="Medium"/>
        <s v="Critical"/>
      </sharedItems>
    </cacheField>
    <cacheField name="Order Quantity" numFmtId="0">
      <sharedItems containsSemiMixedTypes="0" containsString="0" containsNumber="1" containsInteger="1" minValue="2" maxValue="48"/>
    </cacheField>
    <cacheField name="Sales" numFmtId="0">
      <sharedItems containsSemiMixedTypes="0" containsString="0" containsNumber="1" minValue="6.93" maxValue="7804.53"/>
    </cacheField>
    <cacheField name="Discount" numFmtId="0">
      <sharedItems containsSemiMixedTypes="0" containsString="0" containsNumber="1" minValue="0.01" maxValue="0.1"/>
    </cacheField>
    <cacheField name="Ship Mode" numFmtId="0">
      <sharedItems/>
    </cacheField>
    <cacheField name="Profit" numFmtId="0">
      <sharedItems containsSemiMixedTypes="0" containsString="0" containsNumber="1" minValue="-1748.56" maxValue="2057.17"/>
    </cacheField>
    <cacheField name="Region" numFmtId="0">
      <sharedItems count="6">
        <s v="West"/>
        <s v="Prarie"/>
        <s v="Ontario"/>
        <s v="Nunavut"/>
        <s v="Yukon"/>
        <s v="Quebec"/>
      </sharedItems>
    </cacheField>
    <cacheField name="Customer Segment" numFmtId="0">
      <sharedItems count="4">
        <s v="Corporate"/>
        <s v="Small Business"/>
        <s v="Consumer"/>
        <s v="Home Office"/>
      </sharedItems>
    </cacheField>
    <cacheField name="Months (Date2)" numFmtId="0" databaseField="0">
      <fieldGroup base="0">
        <rangePr groupBy="months" startDate="2008-04-24T00:00:00" endDate="2012-06-09T00:00:00"/>
        <groupItems count="14">
          <s v="&lt;4/24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9/2012"/>
        </groupItems>
      </fieldGroup>
    </cacheField>
    <cacheField name="Quarters (Date2)" numFmtId="0" databaseField="0">
      <fieldGroup base="0">
        <rangePr groupBy="quarters" startDate="2008-04-24T00:00:00" endDate="2012-06-09T00:00:00"/>
        <groupItems count="6">
          <s v="&lt;4/24/2008"/>
          <s v="Qtr1"/>
          <s v="Qtr2"/>
          <s v="Qtr3"/>
          <s v="Qtr4"/>
          <s v="&gt;6/9/2012"/>
        </groupItems>
      </fieldGroup>
    </cacheField>
    <cacheField name="Years (Date2)" numFmtId="0" databaseField="0">
      <fieldGroup base="0">
        <rangePr groupBy="years" startDate="2008-04-24T00:00:00" endDate="2012-06-09T00:00:00"/>
        <groupItems count="7">
          <s v="&lt;4/24/2008"/>
          <s v="2008"/>
          <s v="2009"/>
          <s v="2010"/>
          <s v="2011"/>
          <s v="2012"/>
          <s v="&gt;6/9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n v="2"/>
    <n v="6.93"/>
    <n v="0.01"/>
    <s v="Regular Air"/>
    <n v="-4.6399999999999997"/>
    <x v="0"/>
    <x v="0"/>
  </r>
  <r>
    <x v="1"/>
    <x v="1"/>
    <x v="1"/>
    <n v="3"/>
    <n v="461.89"/>
    <n v="0.05"/>
    <s v="Express Air"/>
    <n v="-309.82"/>
    <x v="1"/>
    <x v="0"/>
  </r>
  <r>
    <x v="2"/>
    <x v="2"/>
    <x v="2"/>
    <n v="4"/>
    <n v="32.72"/>
    <n v="0.09"/>
    <s v="Regular Air"/>
    <n v="-22.59"/>
    <x v="2"/>
    <x v="0"/>
  </r>
  <r>
    <x v="3"/>
    <x v="3"/>
    <x v="2"/>
    <n v="6"/>
    <n v="261.54000000000002"/>
    <n v="0.04"/>
    <s v="Regular Air"/>
    <n v="-213.25"/>
    <x v="3"/>
    <x v="1"/>
  </r>
  <r>
    <x v="4"/>
    <x v="4"/>
    <x v="0"/>
    <n v="14"/>
    <n v="1892.848"/>
    <n v="0.01"/>
    <s v="Regular Air"/>
    <n v="48.99"/>
    <x v="0"/>
    <x v="0"/>
  </r>
  <r>
    <x v="5"/>
    <x v="5"/>
    <x v="1"/>
    <n v="15"/>
    <n v="140.56"/>
    <n v="0.04"/>
    <s v="Regular Air"/>
    <n v="-128.38"/>
    <x v="1"/>
    <x v="0"/>
  </r>
  <r>
    <x v="6"/>
    <x v="5"/>
    <x v="1"/>
    <n v="23"/>
    <n v="160.23349999999999"/>
    <n v="0.04"/>
    <s v="Regular Air"/>
    <n v="-85.13"/>
    <x v="0"/>
    <x v="0"/>
  </r>
  <r>
    <x v="7"/>
    <x v="5"/>
    <x v="1"/>
    <n v="24"/>
    <n v="1761.4"/>
    <n v="0.09"/>
    <s v="Delivery Truck"/>
    <n v="-1748.56"/>
    <x v="0"/>
    <x v="0"/>
  </r>
  <r>
    <x v="8"/>
    <x v="5"/>
    <x v="1"/>
    <n v="26"/>
    <n v="2808.08"/>
    <n v="7.0000000000000007E-2"/>
    <s v="Regular Air"/>
    <n v="1054.82"/>
    <x v="0"/>
    <x v="0"/>
  </r>
  <r>
    <x v="9"/>
    <x v="6"/>
    <x v="3"/>
    <n v="26"/>
    <n v="75.569999999999993"/>
    <n v="0.03"/>
    <s v="Regular Air"/>
    <n v="28.24"/>
    <x v="4"/>
    <x v="2"/>
  </r>
  <r>
    <x v="10"/>
    <x v="7"/>
    <x v="0"/>
    <n v="28"/>
    <n v="51.53"/>
    <n v="0.03"/>
    <s v="Express Air"/>
    <n v="0.35"/>
    <x v="1"/>
    <x v="0"/>
  </r>
  <r>
    <x v="11"/>
    <x v="1"/>
    <x v="1"/>
    <n v="29"/>
    <n v="575.11"/>
    <n v="0.02"/>
    <s v="Regular Air"/>
    <n v="71.75"/>
    <x v="1"/>
    <x v="0"/>
  </r>
  <r>
    <x v="12"/>
    <x v="4"/>
    <x v="0"/>
    <n v="30"/>
    <n v="288.56"/>
    <n v="0.03"/>
    <s v="Regular Air"/>
    <n v="60.72"/>
    <x v="0"/>
    <x v="0"/>
  </r>
  <r>
    <x v="13"/>
    <x v="8"/>
    <x v="4"/>
    <n v="32"/>
    <n v="3812.73"/>
    <n v="0.02"/>
    <s v="Regular Air"/>
    <n v="1470.3"/>
    <x v="2"/>
    <x v="0"/>
  </r>
  <r>
    <x v="14"/>
    <x v="9"/>
    <x v="1"/>
    <n v="37"/>
    <n v="4158.1234999999997"/>
    <n v="0.01"/>
    <s v="Regular Air"/>
    <n v="1228.8900000000001"/>
    <x v="1"/>
    <x v="3"/>
  </r>
  <r>
    <x v="15"/>
    <x v="10"/>
    <x v="2"/>
    <n v="41"/>
    <n v="108.15"/>
    <n v="0.09"/>
    <s v="Regular Air"/>
    <n v="7.57"/>
    <x v="0"/>
    <x v="2"/>
  </r>
  <r>
    <x v="16"/>
    <x v="7"/>
    <x v="0"/>
    <n v="42"/>
    <n v="1186.06"/>
    <n v="0.09"/>
    <s v="Regular Air"/>
    <n v="511.69"/>
    <x v="1"/>
    <x v="0"/>
  </r>
  <r>
    <x v="17"/>
    <x v="11"/>
    <x v="4"/>
    <n v="46"/>
    <n v="2484.7455"/>
    <n v="0.1"/>
    <s v="Regular Air"/>
    <n v="657.48"/>
    <x v="0"/>
    <x v="3"/>
  </r>
  <r>
    <x v="18"/>
    <x v="12"/>
    <x v="2"/>
    <n v="46"/>
    <n v="7804.53"/>
    <n v="0.05"/>
    <s v="Regular Air"/>
    <n v="2057.17"/>
    <x v="5"/>
    <x v="3"/>
  </r>
  <r>
    <x v="19"/>
    <x v="12"/>
    <x v="2"/>
    <n v="48"/>
    <n v="90.05"/>
    <n v="0.03"/>
    <s v="Regular Air"/>
    <n v="-107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85A26-274C-4E4F-B67C-568D8399CA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rmer Name">
  <location ref="C3:D17" firstHeaderRow="1" firstDataRow="1" firstDataCol="1"/>
  <pivotFields count="13">
    <pivotField numFmtId="14" showAll="0">
      <items count="21">
        <item x="12"/>
        <item x="4"/>
        <item x="3"/>
        <item x="7"/>
        <item x="6"/>
        <item x="5"/>
        <item x="13"/>
        <item x="0"/>
        <item x="9"/>
        <item x="15"/>
        <item x="11"/>
        <item x="1"/>
        <item x="17"/>
        <item x="10"/>
        <item x="14"/>
        <item x="16"/>
        <item x="19"/>
        <item x="18"/>
        <item x="8"/>
        <item x="2"/>
        <item t="default"/>
      </items>
    </pivotField>
    <pivotField axis="axisRow" showAll="0">
      <items count="14">
        <item x="10"/>
        <item x="6"/>
        <item x="12"/>
        <item x="7"/>
        <item x="4"/>
        <item x="9"/>
        <item x="5"/>
        <item x="3"/>
        <item x="2"/>
        <item x="1"/>
        <item x="0"/>
        <item x="11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Order Quantity" fld="3" baseField="0" baseItem="0" numFmtId="1"/>
  </dataFields>
  <formats count="27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collapsedLevelsAreSubtotals="1" fieldPosition="0">
        <references count="1">
          <reference field="1" count="1">
            <x v="6"/>
          </reference>
        </references>
      </pivotArea>
    </format>
    <format dxfId="3">
      <pivotArea dataOnly="0" labelOnly="1" fieldPosition="0">
        <references count="1">
          <reference field="1" count="1">
            <x v="6"/>
          </reference>
        </references>
      </pivotArea>
    </format>
    <format dxfId="2">
      <pivotArea collapsedLevelsAreSubtotals="1" fieldPosition="0">
        <references count="1">
          <reference field="1" count="1">
            <x v="6"/>
          </reference>
        </references>
      </pivotArea>
    </format>
    <format dxfId="1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C2487-5D45-44D3-A6DF-B3FC834EE9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Priority">
  <location ref="G3:H9" firstHeaderRow="1" firstDataRow="1" firstDataCol="1"/>
  <pivotFields count="13">
    <pivotField numFmtId="14" showAll="0">
      <items count="21">
        <item x="12"/>
        <item x="4"/>
        <item x="3"/>
        <item x="7"/>
        <item x="6"/>
        <item x="5"/>
        <item x="13"/>
        <item x="0"/>
        <item x="9"/>
        <item x="15"/>
        <item x="11"/>
        <item x="1"/>
        <item x="17"/>
        <item x="10"/>
        <item x="14"/>
        <item x="16"/>
        <item x="19"/>
        <item x="18"/>
        <item x="8"/>
        <item x="2"/>
        <item t="default"/>
      </items>
    </pivotField>
    <pivotField showAll="0">
      <items count="14">
        <item x="10"/>
        <item x="6"/>
        <item x="12"/>
        <item x="7"/>
        <item x="4"/>
        <item x="9"/>
        <item x="5"/>
        <item x="3"/>
        <item x="2"/>
        <item x="1"/>
        <item x="0"/>
        <item x="11"/>
        <item x="8"/>
        <item t="default"/>
      </items>
    </pivotField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 numFmtId="164"/>
  </dataFields>
  <formats count="19">
    <format dxfId="46">
      <pivotArea field="2" type="button" dataOnly="0" labelOnly="1" outline="0" axis="axisRow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type="all" dataOnly="0" outline="0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collapsedLevelsAreSubtotals="1" fieldPosition="0">
        <references count="1">
          <reference field="2" count="1">
            <x v="1"/>
          </reference>
        </references>
      </pivotArea>
    </format>
    <format dxfId="36">
      <pivotArea dataOnly="0" labelOnly="1" fieldPosition="0">
        <references count="1">
          <reference field="2" count="1"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dataOnly="0" labelOnly="1" fieldPosition="0">
        <references count="1">
          <reference field="2" count="1">
            <x v="1"/>
          </reference>
        </references>
      </pivotArea>
    </format>
    <format dxfId="28">
      <pivotArea collapsedLevelsAreSubtotals="1" fieldPosition="0">
        <references count="1">
          <reference field="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2E146-B2D9-4549-88E3-9EA8DEDE0C6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G12:H14" firstHeaderRow="1" firstDataRow="1" firstDataCol="1"/>
  <pivotFields count="13">
    <pivotField numFmtId="14" showAll="0">
      <items count="21">
        <item x="12"/>
        <item x="4"/>
        <item x="3"/>
        <item x="7"/>
        <item x="6"/>
        <item x="5"/>
        <item x="13"/>
        <item x="0"/>
        <item x="9"/>
        <item x="15"/>
        <item x="11"/>
        <item x="1"/>
        <item x="17"/>
        <item x="10"/>
        <item x="14"/>
        <item x="16"/>
        <item x="19"/>
        <item x="18"/>
        <item x="8"/>
        <item x="2"/>
        <item t="default"/>
      </items>
    </pivotField>
    <pivotField showAll="0">
      <items count="14">
        <item x="10"/>
        <item x="6"/>
        <item x="12"/>
        <item x="7"/>
        <item x="4"/>
        <item x="9"/>
        <item x="5"/>
        <item x="3"/>
        <item x="2"/>
        <item x="1"/>
        <item x="0"/>
        <item x="11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h="1" sd="0" x="0"/>
        <item h="1" sd="0" x="1"/>
        <item sd="0" x="2"/>
        <item h="1" sd="0" x="3"/>
        <item h="1" sd="0" x="4"/>
        <item h="1" sd="0" x="5"/>
        <item h="1" sd="0" x="6"/>
        <item t="default"/>
      </items>
    </pivotField>
  </pivotFields>
  <rowFields count="1">
    <field x="12"/>
  </rowFields>
  <rowItems count="2">
    <i>
      <x v="2"/>
    </i>
    <i t="grand">
      <x/>
    </i>
  </rowItems>
  <colItems count="1">
    <i/>
  </colItems>
  <dataFields count="1">
    <dataField name="Sum of Sales" fld="4" baseField="0" baseItem="0" numFmtId="164"/>
  </dataFields>
  <formats count="12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2" type="button" dataOnly="0" labelOnly="1" outline="0" axis="axisRow" fieldPosition="0"/>
    </format>
    <format dxfId="55">
      <pivotArea dataOnly="0" labelOnly="1" fieldPosition="0">
        <references count="1">
          <reference field="12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field="12" type="button" dataOnly="0" labelOnly="1" outline="0" axis="axisRow" fieldPosition="0"/>
    </format>
    <format dxfId="51">
      <pivotArea dataOnly="0" labelOnly="1" fieldPosition="0">
        <references count="1">
          <reference field="12" count="0"/>
        </references>
      </pivotArea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20E32-B52E-4795-A47D-9776A6A28F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5" firstHeaderRow="1" firstDataRow="1" firstDataCol="1"/>
  <pivotFields count="13">
    <pivotField numFmtId="14" showAll="0">
      <items count="21">
        <item x="12"/>
        <item x="4"/>
        <item x="3"/>
        <item x="7"/>
        <item x="6"/>
        <item x="5"/>
        <item x="13"/>
        <item x="0"/>
        <item x="9"/>
        <item x="15"/>
        <item x="11"/>
        <item x="1"/>
        <item x="17"/>
        <item x="10"/>
        <item x="14"/>
        <item x="16"/>
        <item x="19"/>
        <item x="18"/>
        <item x="8"/>
        <item x="2"/>
        <item t="default"/>
      </items>
    </pivotField>
    <pivotField showAll="0">
      <items count="14">
        <item x="10"/>
        <item x="6"/>
        <item x="12"/>
        <item x="7"/>
        <item x="4"/>
        <item x="9"/>
        <item x="5"/>
        <item x="3"/>
        <item x="2"/>
        <item x="1"/>
        <item x="0"/>
        <item x="11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Sales" fld="4" baseField="0" baseItem="0"/>
  </dataFields>
  <formats count="5">
    <format dxfId="63">
      <pivotArea collapsedLevelsAreSubtotals="1" fieldPosition="0">
        <references count="1">
          <reference field="9" count="1">
            <x v="2"/>
          </reference>
        </references>
      </pivotArea>
    </format>
    <format dxfId="62">
      <pivotArea collapsedLevelsAreSubtotals="1" fieldPosition="0">
        <references count="1">
          <reference field="9" count="1">
            <x v="2"/>
          </reference>
        </references>
      </pivotArea>
    </format>
    <format dxfId="61">
      <pivotArea dataOnly="0" labelOnly="1" fieldPosition="0">
        <references count="1">
          <reference field="9" count="1">
            <x v="2"/>
          </reference>
        </references>
      </pivotArea>
    </format>
    <format dxfId="60">
      <pivotArea dataOnly="0" labelOnly="1" fieldPosition="0">
        <references count="1">
          <reference field="9" count="1">
            <x v="2"/>
          </reference>
        </references>
      </pivotArea>
    </format>
    <format dxfId="59">
      <pivotArea collapsedLevelsAreSubtotals="1" fieldPosition="0">
        <references count="1">
          <reference field="9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8F13D-85E6-448E-BF8E-2CE71C69E3AD}" name="Table_1" displayName="Table_1" ref="A1:J21">
  <tableColumns count="10">
    <tableColumn id="11" xr3:uid="{EA669F66-B473-4E3A-BCA8-92E51BD83541}" name="Date2" dataDxfId="0"/>
    <tableColumn id="1" xr3:uid="{368FA685-68EE-49A0-9B56-B32FC2A15CC9}" name="Customer Name"/>
    <tableColumn id="2" xr3:uid="{B41D2AED-BFF0-4D1C-8F90-79B2E54092DC}" name="Order Priority"/>
    <tableColumn id="3" xr3:uid="{448952F0-61D1-45F9-B0D1-2C4A513CEC8D}" name="Order Quantity"/>
    <tableColumn id="4" xr3:uid="{24DF0A15-7543-4EB9-962C-D40AB98632BE}" name="Sales"/>
    <tableColumn id="5" xr3:uid="{BFC1E771-F111-4B1F-8914-B8FBFD7AA631}" name="Discount"/>
    <tableColumn id="6" xr3:uid="{EB0F49EC-185A-4167-A915-70D8D0EC6EBF}" name="Ship Mode"/>
    <tableColumn id="7" xr3:uid="{EAAE55F3-2041-41E0-BF38-E6790BED96F2}" name="Profit"/>
    <tableColumn id="8" xr3:uid="{37141F61-5F44-4173-B2BC-0649BDCF1781}" name="Region"/>
    <tableColumn id="9" xr3:uid="{7579CB44-CC56-4826-851C-B7F58E0B7194}" name="Customer Segment"/>
  </tableColumns>
  <tableStyleInfo name="Lookup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803C-5CD9-4F84-9DD9-64E0FE43C30C}">
  <dimension ref="A1:J21"/>
  <sheetViews>
    <sheetView workbookViewId="0">
      <selection sqref="A1:J21"/>
    </sheetView>
  </sheetViews>
  <sheetFormatPr defaultRowHeight="14.4" x14ac:dyDescent="0.3"/>
  <cols>
    <col min="1" max="1" width="12.77734375" customWidth="1"/>
    <col min="8" max="8" width="15.21875" customWidth="1"/>
    <col min="10" max="10" width="16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39935</v>
      </c>
      <c r="B2" s="3" t="s">
        <v>10</v>
      </c>
      <c r="C2" s="3" t="s">
        <v>11</v>
      </c>
      <c r="D2" s="3">
        <v>2</v>
      </c>
      <c r="E2" s="3">
        <v>6.93</v>
      </c>
      <c r="F2" s="3">
        <v>0.01</v>
      </c>
      <c r="G2" s="3" t="s">
        <v>12</v>
      </c>
      <c r="H2" s="3">
        <v>-4.6399999999999997</v>
      </c>
      <c r="I2" s="3" t="s">
        <v>13</v>
      </c>
      <c r="J2" s="3" t="s">
        <v>14</v>
      </c>
    </row>
    <row r="3" spans="1:10" x14ac:dyDescent="0.3">
      <c r="A3" s="2">
        <v>39939</v>
      </c>
      <c r="B3" s="3" t="s">
        <v>15</v>
      </c>
      <c r="C3" s="3" t="s">
        <v>16</v>
      </c>
      <c r="D3" s="3">
        <v>3</v>
      </c>
      <c r="E3" s="3">
        <v>461.89</v>
      </c>
      <c r="F3" s="3">
        <v>0.05</v>
      </c>
      <c r="G3" s="3" t="s">
        <v>17</v>
      </c>
      <c r="H3" s="3">
        <v>-309.82</v>
      </c>
      <c r="I3" s="3" t="s">
        <v>18</v>
      </c>
      <c r="J3" s="3" t="s">
        <v>14</v>
      </c>
    </row>
    <row r="4" spans="1:10" x14ac:dyDescent="0.3">
      <c r="A4" s="2">
        <v>41068</v>
      </c>
      <c r="B4" s="3" t="s">
        <v>19</v>
      </c>
      <c r="C4" s="3" t="s">
        <v>20</v>
      </c>
      <c r="D4" s="3">
        <v>4</v>
      </c>
      <c r="E4" s="3">
        <v>32.72</v>
      </c>
      <c r="F4" s="3">
        <v>0.09</v>
      </c>
      <c r="G4" s="3" t="s">
        <v>12</v>
      </c>
      <c r="H4" s="3">
        <v>-22.59</v>
      </c>
      <c r="I4" s="3" t="s">
        <v>21</v>
      </c>
      <c r="J4" s="3" t="s">
        <v>14</v>
      </c>
    </row>
    <row r="5" spans="1:10" x14ac:dyDescent="0.3">
      <c r="A5" s="2">
        <v>39928</v>
      </c>
      <c r="B5" s="3" t="s">
        <v>22</v>
      </c>
      <c r="C5" s="3" t="s">
        <v>20</v>
      </c>
      <c r="D5" s="3">
        <v>6</v>
      </c>
      <c r="E5" s="3">
        <v>261.54000000000002</v>
      </c>
      <c r="F5" s="3">
        <v>0.04</v>
      </c>
      <c r="G5" s="3" t="s">
        <v>12</v>
      </c>
      <c r="H5" s="3">
        <v>-213.25</v>
      </c>
      <c r="I5" s="3" t="s">
        <v>23</v>
      </c>
      <c r="J5" s="3" t="s">
        <v>24</v>
      </c>
    </row>
    <row r="6" spans="1:10" x14ac:dyDescent="0.3">
      <c r="A6" s="2">
        <v>39926</v>
      </c>
      <c r="B6" s="3" t="s">
        <v>25</v>
      </c>
      <c r="C6" s="3" t="s">
        <v>11</v>
      </c>
      <c r="D6" s="3">
        <v>14</v>
      </c>
      <c r="E6" s="3">
        <v>1892.848</v>
      </c>
      <c r="F6" s="3">
        <v>0.01</v>
      </c>
      <c r="G6" s="3" t="s">
        <v>12</v>
      </c>
      <c r="H6" s="3">
        <v>48.99</v>
      </c>
      <c r="I6" s="3" t="s">
        <v>13</v>
      </c>
      <c r="J6" s="3" t="s">
        <v>14</v>
      </c>
    </row>
    <row r="7" spans="1:10" x14ac:dyDescent="0.3">
      <c r="A7" s="2">
        <v>39932</v>
      </c>
      <c r="B7" s="3" t="s">
        <v>26</v>
      </c>
      <c r="C7" s="3" t="s">
        <v>16</v>
      </c>
      <c r="D7" s="3">
        <v>15</v>
      </c>
      <c r="E7" s="3">
        <v>140.56</v>
      </c>
      <c r="F7" s="3">
        <v>0.04</v>
      </c>
      <c r="G7" s="3" t="s">
        <v>12</v>
      </c>
      <c r="H7" s="3">
        <v>-128.38</v>
      </c>
      <c r="I7" s="3" t="s">
        <v>18</v>
      </c>
      <c r="J7" s="3" t="s">
        <v>14</v>
      </c>
    </row>
    <row r="8" spans="1:10" x14ac:dyDescent="0.3">
      <c r="A8" s="2">
        <v>39931</v>
      </c>
      <c r="B8" s="3" t="s">
        <v>26</v>
      </c>
      <c r="C8" s="3" t="s">
        <v>16</v>
      </c>
      <c r="D8" s="3">
        <v>23</v>
      </c>
      <c r="E8" s="3">
        <v>160.23349999999999</v>
      </c>
      <c r="F8" s="3">
        <v>0.04</v>
      </c>
      <c r="G8" s="3" t="s">
        <v>12</v>
      </c>
      <c r="H8" s="3">
        <v>-85.13</v>
      </c>
      <c r="I8" s="3" t="s">
        <v>13</v>
      </c>
      <c r="J8" s="3" t="s">
        <v>14</v>
      </c>
    </row>
    <row r="9" spans="1:10" x14ac:dyDescent="0.3">
      <c r="A9" s="2">
        <v>39930</v>
      </c>
      <c r="B9" s="3" t="s">
        <v>26</v>
      </c>
      <c r="C9" s="3" t="s">
        <v>16</v>
      </c>
      <c r="D9" s="3">
        <v>24</v>
      </c>
      <c r="E9" s="3">
        <v>1761.4</v>
      </c>
      <c r="F9" s="3">
        <v>0.09</v>
      </c>
      <c r="G9" s="3" t="s">
        <v>27</v>
      </c>
      <c r="H9" s="3">
        <v>-1748.56</v>
      </c>
      <c r="I9" s="3" t="s">
        <v>13</v>
      </c>
      <c r="J9" s="3" t="s">
        <v>14</v>
      </c>
    </row>
    <row r="10" spans="1:10" x14ac:dyDescent="0.3">
      <c r="A10" s="2">
        <v>41025</v>
      </c>
      <c r="B10" s="3" t="s">
        <v>26</v>
      </c>
      <c r="C10" s="3" t="s">
        <v>16</v>
      </c>
      <c r="D10" s="3">
        <v>26</v>
      </c>
      <c r="E10" s="3">
        <v>2808.08</v>
      </c>
      <c r="F10" s="3">
        <v>7.0000000000000007E-2</v>
      </c>
      <c r="G10" s="3" t="s">
        <v>12</v>
      </c>
      <c r="H10" s="3">
        <v>1054.82</v>
      </c>
      <c r="I10" s="3" t="s">
        <v>13</v>
      </c>
      <c r="J10" s="3" t="s">
        <v>14</v>
      </c>
    </row>
    <row r="11" spans="1:10" x14ac:dyDescent="0.3">
      <c r="A11" s="2">
        <v>39936</v>
      </c>
      <c r="B11" s="3" t="s">
        <v>28</v>
      </c>
      <c r="C11" s="3" t="s">
        <v>29</v>
      </c>
      <c r="D11" s="3">
        <v>26</v>
      </c>
      <c r="E11" s="3">
        <v>75.569999999999993</v>
      </c>
      <c r="F11" s="3">
        <v>0.03</v>
      </c>
      <c r="G11" s="3" t="s">
        <v>12</v>
      </c>
      <c r="H11" s="3">
        <v>28.24</v>
      </c>
      <c r="I11" s="3" t="s">
        <v>30</v>
      </c>
      <c r="J11" s="3" t="s">
        <v>31</v>
      </c>
    </row>
    <row r="12" spans="1:10" x14ac:dyDescent="0.3">
      <c r="A12" s="2">
        <v>40307</v>
      </c>
      <c r="B12" s="3" t="s">
        <v>32</v>
      </c>
      <c r="C12" s="3" t="s">
        <v>11</v>
      </c>
      <c r="D12" s="3">
        <v>28</v>
      </c>
      <c r="E12" s="3">
        <v>51.53</v>
      </c>
      <c r="F12" s="3">
        <v>0.03</v>
      </c>
      <c r="G12" s="3" t="s">
        <v>17</v>
      </c>
      <c r="H12" s="3">
        <v>0.35</v>
      </c>
      <c r="I12" s="3" t="s">
        <v>18</v>
      </c>
      <c r="J12" s="3" t="s">
        <v>14</v>
      </c>
    </row>
    <row r="13" spans="1:10" x14ac:dyDescent="0.3">
      <c r="A13" s="2">
        <v>39938</v>
      </c>
      <c r="B13" s="3" t="s">
        <v>15</v>
      </c>
      <c r="C13" s="3" t="s">
        <v>16</v>
      </c>
      <c r="D13" s="3">
        <v>29</v>
      </c>
      <c r="E13" s="3">
        <v>575.11</v>
      </c>
      <c r="F13" s="3">
        <v>0.02</v>
      </c>
      <c r="G13" s="3" t="s">
        <v>12</v>
      </c>
      <c r="H13" s="3">
        <v>71.75</v>
      </c>
      <c r="I13" s="3" t="s">
        <v>18</v>
      </c>
      <c r="J13" s="3" t="s">
        <v>14</v>
      </c>
    </row>
    <row r="14" spans="1:10" x14ac:dyDescent="0.3">
      <c r="A14" s="2">
        <v>39562</v>
      </c>
      <c r="B14" s="3" t="s">
        <v>25</v>
      </c>
      <c r="C14" s="3" t="s">
        <v>11</v>
      </c>
      <c r="D14" s="3">
        <v>30</v>
      </c>
      <c r="E14" s="3">
        <v>288.56</v>
      </c>
      <c r="F14" s="3">
        <v>0.03</v>
      </c>
      <c r="G14" s="3" t="s">
        <v>12</v>
      </c>
      <c r="H14" s="3">
        <v>60.72</v>
      </c>
      <c r="I14" s="3" t="s">
        <v>13</v>
      </c>
      <c r="J14" s="3" t="s">
        <v>14</v>
      </c>
    </row>
    <row r="15" spans="1:10" x14ac:dyDescent="0.3">
      <c r="A15" s="2">
        <v>39934</v>
      </c>
      <c r="B15" s="3" t="s">
        <v>33</v>
      </c>
      <c r="C15" s="3" t="s">
        <v>34</v>
      </c>
      <c r="D15" s="3">
        <v>32</v>
      </c>
      <c r="E15" s="3">
        <v>3812.73</v>
      </c>
      <c r="F15" s="3">
        <v>0.02</v>
      </c>
      <c r="G15" s="3" t="s">
        <v>12</v>
      </c>
      <c r="H15" s="3">
        <v>1470.3</v>
      </c>
      <c r="I15" s="3" t="s">
        <v>21</v>
      </c>
      <c r="J15" s="3" t="s">
        <v>14</v>
      </c>
    </row>
    <row r="16" spans="1:10" x14ac:dyDescent="0.3">
      <c r="A16" s="2">
        <v>40663</v>
      </c>
      <c r="B16" s="3" t="s">
        <v>35</v>
      </c>
      <c r="C16" s="3" t="s">
        <v>16</v>
      </c>
      <c r="D16" s="3">
        <v>37</v>
      </c>
      <c r="E16" s="3">
        <v>4158.1234999999997</v>
      </c>
      <c r="F16" s="3">
        <v>0.01</v>
      </c>
      <c r="G16" s="3" t="s">
        <v>12</v>
      </c>
      <c r="H16" s="3">
        <v>1228.8900000000001</v>
      </c>
      <c r="I16" s="3" t="s">
        <v>18</v>
      </c>
      <c r="J16" s="3" t="s">
        <v>36</v>
      </c>
    </row>
    <row r="17" spans="1:10" x14ac:dyDescent="0.3">
      <c r="A17" s="2">
        <v>39937</v>
      </c>
      <c r="B17" s="3" t="s">
        <v>37</v>
      </c>
      <c r="C17" s="3" t="s">
        <v>20</v>
      </c>
      <c r="D17" s="3">
        <v>41</v>
      </c>
      <c r="E17" s="3">
        <v>108.15</v>
      </c>
      <c r="F17" s="3">
        <v>0.09</v>
      </c>
      <c r="G17" s="3" t="s">
        <v>12</v>
      </c>
      <c r="H17" s="3">
        <v>7.57</v>
      </c>
      <c r="I17" s="3" t="s">
        <v>13</v>
      </c>
      <c r="J17" s="3" t="s">
        <v>31</v>
      </c>
    </row>
    <row r="18" spans="1:10" x14ac:dyDescent="0.3">
      <c r="A18" s="2">
        <v>40671</v>
      </c>
      <c r="B18" s="3" t="s">
        <v>32</v>
      </c>
      <c r="C18" s="3" t="s">
        <v>11</v>
      </c>
      <c r="D18" s="3">
        <v>42</v>
      </c>
      <c r="E18" s="3">
        <v>1186.06</v>
      </c>
      <c r="F18" s="3">
        <v>0.09</v>
      </c>
      <c r="G18" s="3" t="s">
        <v>12</v>
      </c>
      <c r="H18" s="3">
        <v>511.69</v>
      </c>
      <c r="I18" s="3" t="s">
        <v>18</v>
      </c>
      <c r="J18" s="3" t="s">
        <v>14</v>
      </c>
    </row>
    <row r="19" spans="1:10" x14ac:dyDescent="0.3">
      <c r="A19" s="2">
        <v>39940</v>
      </c>
      <c r="B19" s="3" t="s">
        <v>38</v>
      </c>
      <c r="C19" s="3" t="s">
        <v>34</v>
      </c>
      <c r="D19" s="3">
        <v>46</v>
      </c>
      <c r="E19" s="3">
        <v>2484.7455</v>
      </c>
      <c r="F19" s="3">
        <v>0.1</v>
      </c>
      <c r="G19" s="3" t="s">
        <v>12</v>
      </c>
      <c r="H19" s="3">
        <v>657.48</v>
      </c>
      <c r="I19" s="3" t="s">
        <v>13</v>
      </c>
      <c r="J19" s="3" t="s">
        <v>36</v>
      </c>
    </row>
    <row r="20" spans="1:10" x14ac:dyDescent="0.3">
      <c r="A20" s="2">
        <v>40887</v>
      </c>
      <c r="B20" s="3" t="s">
        <v>39</v>
      </c>
      <c r="C20" s="3" t="s">
        <v>20</v>
      </c>
      <c r="D20" s="3">
        <v>46</v>
      </c>
      <c r="E20" s="3">
        <v>7804.53</v>
      </c>
      <c r="F20" s="3">
        <v>0.05</v>
      </c>
      <c r="G20" s="3" t="s">
        <v>12</v>
      </c>
      <c r="H20" s="3">
        <v>2057.17</v>
      </c>
      <c r="I20" s="3" t="s">
        <v>40</v>
      </c>
      <c r="J20" s="3" t="s">
        <v>36</v>
      </c>
    </row>
    <row r="21" spans="1:10" x14ac:dyDescent="0.3">
      <c r="A21" s="2">
        <v>40828</v>
      </c>
      <c r="B21" s="3" t="s">
        <v>39</v>
      </c>
      <c r="C21" s="3" t="s">
        <v>20</v>
      </c>
      <c r="D21" s="3">
        <v>48</v>
      </c>
      <c r="E21" s="3">
        <v>90.05</v>
      </c>
      <c r="F21" s="3">
        <v>0.03</v>
      </c>
      <c r="G21" s="3" t="s">
        <v>12</v>
      </c>
      <c r="H21" s="3">
        <v>-107</v>
      </c>
      <c r="I21" s="3" t="s">
        <v>40</v>
      </c>
      <c r="J21" s="3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C47C-8C6D-408A-BB3B-ABB138DC25EF}">
  <dimension ref="C1:L25"/>
  <sheetViews>
    <sheetView tabSelected="1" workbookViewId="0">
      <selection activeCell="C5" sqref="C4:C16"/>
      <pivotSelection pane="bottomRight" showHeader="1" axis="axisRow" activeRow="4" activeCol="2" previousRow="4" previousCol="2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 x14ac:dyDescent="0.3"/>
  <cols>
    <col min="1" max="1" width="19" customWidth="1"/>
    <col min="2" max="2" width="19.44140625" bestFit="1" customWidth="1"/>
    <col min="3" max="3" width="19" bestFit="1" customWidth="1"/>
    <col min="4" max="4" width="19.44140625" bestFit="1" customWidth="1"/>
    <col min="5" max="5" width="12.44140625" bestFit="1" customWidth="1"/>
    <col min="6" max="6" width="11.5546875" bestFit="1" customWidth="1"/>
    <col min="7" max="7" width="13.88671875" bestFit="1" customWidth="1"/>
    <col min="8" max="8" width="11.109375" bestFit="1" customWidth="1"/>
    <col min="11" max="11" width="10.5546875" bestFit="1" customWidth="1"/>
    <col min="12" max="12" width="11.5546875" bestFit="1" customWidth="1"/>
    <col min="16" max="16" width="12.44140625" bestFit="1" customWidth="1"/>
    <col min="17" max="17" width="11.5546875" bestFit="1" customWidth="1"/>
  </cols>
  <sheetData>
    <row r="1" spans="3:12" x14ac:dyDescent="0.3">
      <c r="C1" s="4"/>
      <c r="D1" s="5"/>
      <c r="E1" s="5"/>
      <c r="H1" s="6"/>
      <c r="K1" s="7"/>
      <c r="L1" s="6"/>
    </row>
    <row r="2" spans="3:12" x14ac:dyDescent="0.3">
      <c r="C2" s="4"/>
      <c r="D2" s="5"/>
      <c r="E2" s="5"/>
      <c r="H2" s="6"/>
      <c r="K2" s="7"/>
      <c r="L2" s="6"/>
    </row>
    <row r="3" spans="3:12" x14ac:dyDescent="0.3">
      <c r="C3" s="27" t="s">
        <v>41</v>
      </c>
      <c r="D3" s="5" t="s">
        <v>42</v>
      </c>
      <c r="G3" s="27" t="s">
        <v>2</v>
      </c>
      <c r="H3" s="6" t="s">
        <v>43</v>
      </c>
    </row>
    <row r="4" spans="3:12" x14ac:dyDescent="0.3">
      <c r="C4" s="8" t="s">
        <v>37</v>
      </c>
      <c r="D4" s="5">
        <v>41</v>
      </c>
      <c r="E4" s="5"/>
      <c r="G4" s="8" t="s">
        <v>34</v>
      </c>
      <c r="H4" s="6">
        <v>6297.4755000000005</v>
      </c>
    </row>
    <row r="5" spans="3:12" x14ac:dyDescent="0.3">
      <c r="C5" s="8" t="s">
        <v>28</v>
      </c>
      <c r="D5" s="5">
        <v>26</v>
      </c>
      <c r="E5" s="5"/>
      <c r="G5" s="9" t="s">
        <v>16</v>
      </c>
      <c r="H5" s="10">
        <v>10065.397000000001</v>
      </c>
    </row>
    <row r="6" spans="3:12" x14ac:dyDescent="0.3">
      <c r="C6" s="8" t="s">
        <v>39</v>
      </c>
      <c r="D6" s="5">
        <v>94</v>
      </c>
      <c r="E6" s="5"/>
      <c r="G6" s="8" t="s">
        <v>20</v>
      </c>
      <c r="H6" s="6">
        <v>8296.99</v>
      </c>
    </row>
    <row r="7" spans="3:12" x14ac:dyDescent="0.3">
      <c r="C7" s="8" t="s">
        <v>32</v>
      </c>
      <c r="D7" s="5">
        <v>70</v>
      </c>
      <c r="E7" s="5"/>
      <c r="G7" s="8" t="s">
        <v>29</v>
      </c>
      <c r="H7" s="6">
        <v>75.569999999999993</v>
      </c>
    </row>
    <row r="8" spans="3:12" x14ac:dyDescent="0.3">
      <c r="C8" s="8" t="s">
        <v>25</v>
      </c>
      <c r="D8" s="5">
        <v>44</v>
      </c>
      <c r="E8" s="5"/>
      <c r="G8" s="8" t="s">
        <v>11</v>
      </c>
      <c r="H8" s="6">
        <v>3425.9279999999999</v>
      </c>
    </row>
    <row r="9" spans="3:12" x14ac:dyDescent="0.3">
      <c r="C9" s="8" t="s">
        <v>35</v>
      </c>
      <c r="D9" s="5">
        <v>37</v>
      </c>
      <c r="E9" s="5"/>
      <c r="G9" s="8" t="s">
        <v>44</v>
      </c>
      <c r="H9" s="6">
        <v>28161.360500000003</v>
      </c>
    </row>
    <row r="10" spans="3:12" x14ac:dyDescent="0.3">
      <c r="C10" s="11" t="s">
        <v>26</v>
      </c>
      <c r="D10" s="12">
        <v>88</v>
      </c>
      <c r="E10" s="5"/>
    </row>
    <row r="11" spans="3:12" x14ac:dyDescent="0.3">
      <c r="C11" s="8" t="s">
        <v>22</v>
      </c>
      <c r="D11" s="5">
        <v>6</v>
      </c>
      <c r="E11" s="5"/>
      <c r="H11" s="6"/>
    </row>
    <row r="12" spans="3:12" x14ac:dyDescent="0.3">
      <c r="C12" s="8" t="s">
        <v>19</v>
      </c>
      <c r="D12" s="5">
        <v>4</v>
      </c>
      <c r="E12" s="5"/>
      <c r="G12" s="29" t="s">
        <v>45</v>
      </c>
      <c r="H12" s="6" t="s">
        <v>43</v>
      </c>
    </row>
    <row r="13" spans="3:12" x14ac:dyDescent="0.3">
      <c r="C13" s="8" t="s">
        <v>15</v>
      </c>
      <c r="D13" s="5">
        <v>32</v>
      </c>
      <c r="E13" s="5"/>
      <c r="G13" s="13" t="s">
        <v>46</v>
      </c>
      <c r="H13" s="14">
        <v>11741.707</v>
      </c>
    </row>
    <row r="14" spans="3:12" x14ac:dyDescent="0.3">
      <c r="C14" s="8" t="s">
        <v>10</v>
      </c>
      <c r="D14" s="5">
        <v>2</v>
      </c>
      <c r="E14" s="5"/>
      <c r="G14" s="15" t="s">
        <v>44</v>
      </c>
      <c r="H14" s="6">
        <v>11741.707</v>
      </c>
    </row>
    <row r="15" spans="3:12" x14ac:dyDescent="0.3">
      <c r="C15" s="8" t="s">
        <v>38</v>
      </c>
      <c r="D15" s="5">
        <v>46</v>
      </c>
      <c r="E15" s="5"/>
    </row>
    <row r="16" spans="3:12" x14ac:dyDescent="0.3">
      <c r="C16" s="8" t="s">
        <v>33</v>
      </c>
      <c r="D16" s="5">
        <v>32</v>
      </c>
      <c r="E16" s="5"/>
    </row>
    <row r="17" spans="3:8" x14ac:dyDescent="0.3">
      <c r="C17" s="8" t="s">
        <v>44</v>
      </c>
      <c r="D17" s="5">
        <v>522</v>
      </c>
      <c r="E17" s="5"/>
    </row>
    <row r="20" spans="3:8" x14ac:dyDescent="0.3">
      <c r="C20" s="16" t="s">
        <v>47</v>
      </c>
      <c r="D20" s="17">
        <v>2012</v>
      </c>
      <c r="G20" s="28" t="s">
        <v>48</v>
      </c>
      <c r="H20" t="s">
        <v>43</v>
      </c>
    </row>
    <row r="21" spans="3:8" x14ac:dyDescent="0.3">
      <c r="E21" s="4"/>
      <c r="G21" s="18" t="s">
        <v>36</v>
      </c>
      <c r="H21" s="19">
        <v>14537.448999999999</v>
      </c>
    </row>
    <row r="22" spans="3:8" x14ac:dyDescent="0.3">
      <c r="C22" s="20" t="s">
        <v>48</v>
      </c>
      <c r="D22" s="21" t="s">
        <v>49</v>
      </c>
      <c r="G22" s="22" t="s">
        <v>14</v>
      </c>
      <c r="H22">
        <v>13178.6515</v>
      </c>
    </row>
    <row r="23" spans="3:8" x14ac:dyDescent="0.3">
      <c r="C23" s="23" t="s">
        <v>21</v>
      </c>
      <c r="D23" s="24">
        <v>-22.59</v>
      </c>
      <c r="G23" s="22" t="s">
        <v>24</v>
      </c>
      <c r="H23">
        <v>261.54000000000002</v>
      </c>
    </row>
    <row r="24" spans="3:8" x14ac:dyDescent="0.3">
      <c r="C24" s="8" t="s">
        <v>13</v>
      </c>
      <c r="D24" s="6">
        <v>1054.82</v>
      </c>
      <c r="G24" s="22" t="s">
        <v>31</v>
      </c>
      <c r="H24">
        <v>183.72</v>
      </c>
    </row>
    <row r="25" spans="3:8" x14ac:dyDescent="0.3">
      <c r="C25" s="25" t="s">
        <v>44</v>
      </c>
      <c r="D25" s="26">
        <v>1032.23</v>
      </c>
      <c r="G25" s="22" t="s">
        <v>44</v>
      </c>
      <c r="H25">
        <v>28161.360499999999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2026-07-04T14:37:45Z</dcterms:created>
  <dcterms:modified xsi:type="dcterms:W3CDTF">2026-07-04T15:01:55Z</dcterms:modified>
</cp:coreProperties>
</file>